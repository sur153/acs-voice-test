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user/Python Projects/ProtectiveTeleLife/"/>
    </mc:Choice>
  </mc:AlternateContent>
  <xr:revisionPtr revIDLastSave="0" documentId="13_ncr:1_{5189F724-54AE-5749-907D-0588B27FB5E9}" xr6:coauthVersionLast="47" xr6:coauthVersionMax="47" xr10:uidLastSave="{00000000-0000-0000-0000-000000000000}"/>
  <bookViews>
    <workbookView xWindow="0" yWindow="760" windowWidth="30240" windowHeight="17880" activeTab="1" xr2:uid="{00000000-000D-0000-FFFF-FFFF00000000}"/>
  </bookViews>
  <sheets>
    <sheet name="Dashboard" sheetId="1" r:id="rId1"/>
    <sheet name="Tasks" sheetId="2" r:id="rId2"/>
    <sheet name="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B21" i="1"/>
  <c r="G20" i="1"/>
  <c r="F20" i="1"/>
  <c r="E20" i="1"/>
  <c r="C20" i="1"/>
  <c r="B20" i="1"/>
  <c r="G19" i="1"/>
  <c r="F19" i="1"/>
  <c r="E19" i="1"/>
  <c r="C19" i="1"/>
  <c r="B19" i="1"/>
  <c r="G18" i="1"/>
  <c r="F18" i="1"/>
  <c r="E18" i="1"/>
  <c r="C18" i="1"/>
  <c r="B18" i="1"/>
  <c r="G17" i="1"/>
  <c r="F17" i="1"/>
  <c r="E17" i="1"/>
  <c r="C17" i="1"/>
  <c r="B17" i="1"/>
  <c r="G16" i="1"/>
  <c r="F16" i="1"/>
  <c r="E16" i="1"/>
  <c r="C16" i="1"/>
  <c r="B16" i="1"/>
  <c r="G15" i="1"/>
  <c r="F15" i="1"/>
  <c r="E15" i="1"/>
  <c r="C15" i="1"/>
  <c r="B15" i="1"/>
  <c r="F11" i="1"/>
  <c r="E11" i="1"/>
  <c r="G11" i="1" s="1"/>
  <c r="F10" i="1"/>
  <c r="G10" i="1" s="1"/>
  <c r="E10" i="1"/>
  <c r="F9" i="1"/>
  <c r="E9" i="1"/>
  <c r="G9" i="1" s="1"/>
  <c r="B9" i="1"/>
  <c r="F8" i="1"/>
  <c r="G8" i="1" s="1"/>
  <c r="E8" i="1"/>
  <c r="B8" i="1"/>
  <c r="F7" i="1"/>
  <c r="E7" i="1"/>
  <c r="G7" i="1" s="1"/>
  <c r="B7" i="1"/>
  <c r="F6" i="1"/>
  <c r="G6" i="1" s="1"/>
  <c r="E6" i="1"/>
  <c r="B6" i="1"/>
  <c r="B5" i="1"/>
  <c r="B10" i="1" s="1"/>
</calcChain>
</file>

<file path=xl/sharedStrings.xml><?xml version="1.0" encoding="utf-8"?>
<sst xmlns="http://schemas.openxmlformats.org/spreadsheetml/2006/main" count="469" uniqueCount="209">
  <si>
    <t>AI Voice Bot Project - Task Tracker</t>
  </si>
  <si>
    <t>6-Week Sprint Plan | Python + Azure Agents + VoiceLive + React</t>
  </si>
  <si>
    <t>OVERALL PROGRESS</t>
  </si>
  <si>
    <t>SPRINT PROGRESS</t>
  </si>
  <si>
    <t>Total Tasks</t>
  </si>
  <si>
    <t>Sprint</t>
  </si>
  <si>
    <t>Tasks</t>
  </si>
  <si>
    <t>Done</t>
  </si>
  <si>
    <t>Progress %</t>
  </si>
  <si>
    <t>Completed</t>
  </si>
  <si>
    <t>Week 1</t>
  </si>
  <si>
    <t>In Progress</t>
  </si>
  <si>
    <t>Week 2</t>
  </si>
  <si>
    <t>Not Started</t>
  </si>
  <si>
    <t>Week 3</t>
  </si>
  <si>
    <t>Blocked</t>
  </si>
  <si>
    <t>Week 4</t>
  </si>
  <si>
    <t>Completion %</t>
  </si>
  <si>
    <t>Week 5</t>
  </si>
  <si>
    <t>Week 6</t>
  </si>
  <si>
    <t>BY CATEGORY</t>
  </si>
  <si>
    <t>TEAM WORKLOAD</t>
  </si>
  <si>
    <t>Category</t>
  </si>
  <si>
    <t>Assignee</t>
  </si>
  <si>
    <t>Assigned</t>
  </si>
  <si>
    <t>Backend</t>
  </si>
  <si>
    <t>Alex (Backend)</t>
  </si>
  <si>
    <t>Frontend</t>
  </si>
  <si>
    <t>Jordan (Frontend)</t>
  </si>
  <si>
    <t>AI/ML</t>
  </si>
  <si>
    <t>Sam (AI/ML)</t>
  </si>
  <si>
    <t>DevOps</t>
  </si>
  <si>
    <t>Taylor (DevOps)</t>
  </si>
  <si>
    <t>Design</t>
  </si>
  <si>
    <t>Morgan (QA)</t>
  </si>
  <si>
    <t>Testing</t>
  </si>
  <si>
    <t>Casey (Design)</t>
  </si>
  <si>
    <t>Documentation</t>
  </si>
  <si>
    <t>ID</t>
  </si>
  <si>
    <t>Task</t>
  </si>
  <si>
    <t>Description</t>
  </si>
  <si>
    <t>Priority</t>
  </si>
  <si>
    <t>Status</t>
  </si>
  <si>
    <t>Start</t>
  </si>
  <si>
    <t>Due</t>
  </si>
  <si>
    <t>Notes</t>
  </si>
  <si>
    <t>W1-01</t>
  </si>
  <si>
    <t>Project architecture design</t>
  </si>
  <si>
    <t>Define system components, data flow, integration points</t>
  </si>
  <si>
    <t>High</t>
  </si>
  <si>
    <t>W1-02</t>
  </si>
  <si>
    <t>Development environment setup</t>
  </si>
  <si>
    <t>Docker, local dev configs, env variables</t>
  </si>
  <si>
    <t>W1-03</t>
  </si>
  <si>
    <t>Git repository &amp; branching strategy</t>
  </si>
  <si>
    <t>Set up repo, branch protection, PR templates</t>
  </si>
  <si>
    <t>W1-04</t>
  </si>
  <si>
    <t>CI/CD pipeline skeleton</t>
  </si>
  <si>
    <t>GitHub Actions for build, test, deploy stages</t>
  </si>
  <si>
    <t>Medium</t>
  </si>
  <si>
    <t>W1-05</t>
  </si>
  <si>
    <t>Database schema design</t>
  </si>
  <si>
    <t>Design tables for users, sessions, conversations</t>
  </si>
  <si>
    <t>W1-06</t>
  </si>
  <si>
    <t>API specification document</t>
  </si>
  <si>
    <t>OpenAPI spec for all planned endpoints</t>
  </si>
  <si>
    <t>W1-07</t>
  </si>
  <si>
    <t>React project initialization</t>
  </si>
  <si>
    <t>Vite + React + TypeScript + TailwindCSS setup</t>
  </si>
  <si>
    <t>W1-08</t>
  </si>
  <si>
    <t>Python backend scaffolding</t>
  </si>
  <si>
    <t>FastAPI project structure, config, health endpoints</t>
  </si>
  <si>
    <t>W2-01</t>
  </si>
  <si>
    <t>Azure Agent SDK setup</t>
  </si>
  <si>
    <t>Configure Azure AI services, authentication, SDK</t>
  </si>
  <si>
    <t>W2-02</t>
  </si>
  <si>
    <t>VoiceLive API integration research</t>
  </si>
  <si>
    <t>Evaluate API capabilities, rate limits, pricing</t>
  </si>
  <si>
    <t>W2-03</t>
  </si>
  <si>
    <t>Voice processing module</t>
  </si>
  <si>
    <t>Audio format conversion, chunking, streaming</t>
  </si>
  <si>
    <t>W2-04</t>
  </si>
  <si>
    <t>Authentication service</t>
  </si>
  <si>
    <t>JWT tokens, user sessions, API key management</t>
  </si>
  <si>
    <t>W2-05</t>
  </si>
  <si>
    <t>Core API endpoints</t>
  </si>
  <si>
    <t>User, conversation, voice session endpoints</t>
  </si>
  <si>
    <t>W2-06</t>
  </si>
  <si>
    <t>Database models implementation</t>
  </si>
  <si>
    <t>SQLAlchemy models, migrations, relationships</t>
  </si>
  <si>
    <t>W2-07</t>
  </si>
  <si>
    <t>Logging framework</t>
  </si>
  <si>
    <t>Structured logging, request tracing, audit logs</t>
  </si>
  <si>
    <t>W2-08</t>
  </si>
  <si>
    <t>Error handling framework</t>
  </si>
  <si>
    <t>Global exception handlers, error responses</t>
  </si>
  <si>
    <t>W3-01</t>
  </si>
  <si>
    <t>Azure OpenAI integration</t>
  </si>
  <si>
    <t>GPT-4 API setup, prompt management, responses</t>
  </si>
  <si>
    <t>W3-02</t>
  </si>
  <si>
    <t>Speech-to-text pipeline</t>
  </si>
  <si>
    <t>Real-time transcription via Azure Speech</t>
  </si>
  <si>
    <t>W3-03</t>
  </si>
  <si>
    <t>Text-to-speech pipeline</t>
  </si>
  <si>
    <t>Natural voice synthesis, SSML support</t>
  </si>
  <si>
    <t>W3-04</t>
  </si>
  <si>
    <t>Conversation state management</t>
  </si>
  <si>
    <t>Context tracking, conversation history, memory</t>
  </si>
  <si>
    <t>W3-05</t>
  </si>
  <si>
    <t>Agent prompt engineering</t>
  </si>
  <si>
    <t>System prompts, few-shot examples, guardrails</t>
  </si>
  <si>
    <t>W3-06</t>
  </si>
  <si>
    <t>Voice bot core logic</t>
  </si>
  <si>
    <t>Orchestration of STT -&gt; LLM -&gt; TTS pipeline</t>
  </si>
  <si>
    <t>W3-07</t>
  </si>
  <si>
    <t>Response generation module</t>
  </si>
  <si>
    <t>Streaming responses, interruption handling</t>
  </si>
  <si>
    <t>W3-08</t>
  </si>
  <si>
    <t>Context memory system</t>
  </si>
  <si>
    <t>Session-based and persistent memory storage</t>
  </si>
  <si>
    <t>W4-01</t>
  </si>
  <si>
    <t>UI/UX mockups finalization</t>
  </si>
  <si>
    <t>Figma designs for all screens, components</t>
  </si>
  <si>
    <t>W4-02</t>
  </si>
  <si>
    <t>React component architecture</t>
  </si>
  <si>
    <t>Atomic design structure, shared components</t>
  </si>
  <si>
    <t>W4-03</t>
  </si>
  <si>
    <t>Voice interface component</t>
  </si>
  <si>
    <t>Microphone controls, visual feedback, waveform</t>
  </si>
  <si>
    <t>W4-04</t>
  </si>
  <si>
    <t>Real-time audio handling</t>
  </si>
  <si>
    <t>WebRTC/WebSocket audio streaming</t>
  </si>
  <si>
    <t>W4-05</t>
  </si>
  <si>
    <t>API integration layer</t>
  </si>
  <si>
    <t>React Query, API client, error boundaries</t>
  </si>
  <si>
    <t>W4-06</t>
  </si>
  <si>
    <t>State management setup</t>
  </si>
  <si>
    <t>Zustand/Redux for global state</t>
  </si>
  <si>
    <t>W4-07</t>
  </si>
  <si>
    <t>Chat interface UI</t>
  </si>
  <si>
    <t>Message display, typing indicators, history</t>
  </si>
  <si>
    <t>W4-08</t>
  </si>
  <si>
    <t>Settings &amp; configuration UI</t>
  </si>
  <si>
    <t>User preferences, voice settings, theme</t>
  </si>
  <si>
    <t>Low</t>
  </si>
  <si>
    <t>W5-01</t>
  </si>
  <si>
    <t>Frontend-backend integration</t>
  </si>
  <si>
    <t>Connect all React components to live APIs</t>
  </si>
  <si>
    <t>W5-02</t>
  </si>
  <si>
    <t>End-to-end testing</t>
  </si>
  <si>
    <t>Playwright tests for critical user flows</t>
  </si>
  <si>
    <t>W5-03</t>
  </si>
  <si>
    <t>Voice quality testing</t>
  </si>
  <si>
    <t>Latency, accuracy, naturalness evaluation</t>
  </si>
  <si>
    <t>W5-04</t>
  </si>
  <si>
    <t>Performance optimization</t>
  </si>
  <si>
    <t>Database queries, caching, async processing</t>
  </si>
  <si>
    <t>W5-05</t>
  </si>
  <si>
    <t>Security audit</t>
  </si>
  <si>
    <t>OWASP checks, penetration testing, auth review</t>
  </si>
  <si>
    <t>W5-06</t>
  </si>
  <si>
    <t>Error handling improvements</t>
  </si>
  <si>
    <t>Edge cases, graceful degradation</t>
  </si>
  <si>
    <t>W5-07</t>
  </si>
  <si>
    <t>User acceptance testing</t>
  </si>
  <si>
    <t>Internal team testing, feedback collection</t>
  </si>
  <si>
    <t>W5-08</t>
  </si>
  <si>
    <t>Bug fixes sprint</t>
  </si>
  <si>
    <t>Address issues from testing phase</t>
  </si>
  <si>
    <t>W6-01</t>
  </si>
  <si>
    <t>Production environment setup</t>
  </si>
  <si>
    <t>Cloud infrastructure, networking, secrets</t>
  </si>
  <si>
    <t>W6-02</t>
  </si>
  <si>
    <t>Security hardening</t>
  </si>
  <si>
    <t>SSL, WAF, rate limiting, DDoS protection</t>
  </si>
  <si>
    <t>W6-03</t>
  </si>
  <si>
    <t>Load testing</t>
  </si>
  <si>
    <t>Stress test concurrent users, find bottlenecks</t>
  </si>
  <si>
    <t>W6-04</t>
  </si>
  <si>
    <t>Technical documentation</t>
  </si>
  <si>
    <t>API docs, architecture docs, runbooks</t>
  </si>
  <si>
    <t>W6-05</t>
  </si>
  <si>
    <t>Monitoring &amp; alerting setup</t>
  </si>
  <si>
    <t>Prometheus, Grafana, PagerDuty integration</t>
  </si>
  <si>
    <t>W6-06</t>
  </si>
  <si>
    <t>Final deployment</t>
  </si>
  <si>
    <t>Blue-green deployment to production</t>
  </si>
  <si>
    <t>W6-07</t>
  </si>
  <si>
    <t>User documentation</t>
  </si>
  <si>
    <t>User guides, FAQ, troubleshooting</t>
  </si>
  <si>
    <t>W6-08</t>
  </si>
  <si>
    <t>Post-launch monitoring</t>
  </si>
  <si>
    <t>Watch metrics, respond to issues, hotfixes</t>
  </si>
  <si>
    <t>Status Options</t>
  </si>
  <si>
    <t>Categories</t>
  </si>
  <si>
    <t>Team</t>
  </si>
  <si>
    <t>HOW TO USE</t>
  </si>
  <si>
    <t>1. Update Status in column H as tasks progress</t>
  </si>
  <si>
    <t>2. Dashboard formulas update automatically</t>
  </si>
  <si>
    <t>3. Colors indicate: Green=Done, Yellow=In Progress, Red=Blocked, Gray=Not Started</t>
  </si>
  <si>
    <t>4. Filter Tasks sheet by Sprint, Category, or Assignee</t>
  </si>
  <si>
    <t>5. Add notes in column K for context</t>
  </si>
  <si>
    <t>6. Team members can filter by their name to see assignments</t>
  </si>
  <si>
    <t>Ravi</t>
  </si>
  <si>
    <t>Surbhi</t>
  </si>
  <si>
    <t>Kirti</t>
  </si>
  <si>
    <t>Surbhi/Shruti</t>
  </si>
  <si>
    <t>Shruti</t>
  </si>
  <si>
    <t>Samya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</si>
</sst>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7" x14ac:knownFonts="1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</font>
    <font>
      <i/>
      <sz val="12"/>
      <color rgb="FF666666"/>
      <name val="Calibri"/>
      <family val="2"/>
    </font>
    <font>
      <b/>
      <sz val="16"/>
      <color rgb="FF1F4E79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4"/>
      <color rgb="FF1F4E7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165" fontId="0" fillId="0" borderId="1" xfId="0" applyNumberFormat="1" applyBorder="1"/>
    <xf numFmtId="0" fontId="6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 patternType="solid">
          <fgColor rgb="FFDDDDDD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sqref="A1:F1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10" customWidth="1"/>
    <col min="4" max="4" width="18" customWidth="1"/>
    <col min="5" max="6" width="10" customWidth="1"/>
    <col min="7" max="7" width="12" customWidth="1"/>
  </cols>
  <sheetData>
    <row r="1" spans="1:7" ht="26" x14ac:dyDescent="0.3">
      <c r="A1" s="9" t="s">
        <v>0</v>
      </c>
      <c r="B1" s="10"/>
      <c r="C1" s="10"/>
      <c r="D1" s="10"/>
      <c r="E1" s="10"/>
      <c r="F1" s="10"/>
    </row>
    <row r="2" spans="1:7" ht="16" x14ac:dyDescent="0.2">
      <c r="A2" s="1" t="s">
        <v>1</v>
      </c>
    </row>
    <row r="4" spans="1:7" ht="21" x14ac:dyDescent="0.25">
      <c r="A4" s="2" t="s">
        <v>2</v>
      </c>
      <c r="D4" s="2" t="s">
        <v>3</v>
      </c>
    </row>
    <row r="5" spans="1:7" ht="16" x14ac:dyDescent="0.2">
      <c r="A5" s="3" t="s">
        <v>4</v>
      </c>
      <c r="B5">
        <f>COUNTA(Tasks!A:A)-1</f>
        <v>48</v>
      </c>
      <c r="D5" s="4" t="s">
        <v>5</v>
      </c>
      <c r="E5" s="4" t="s">
        <v>6</v>
      </c>
      <c r="F5" s="4" t="s">
        <v>7</v>
      </c>
      <c r="G5" s="4" t="s">
        <v>8</v>
      </c>
    </row>
    <row r="6" spans="1:7" x14ac:dyDescent="0.2">
      <c r="A6" s="3" t="s">
        <v>9</v>
      </c>
      <c r="B6">
        <f>COUNTIF(Tasks!H:H,"Done")</f>
        <v>0</v>
      </c>
      <c r="D6" s="5" t="s">
        <v>10</v>
      </c>
      <c r="E6" s="5">
        <f>COUNTIF(Tasks!B:B,"Week 1")</f>
        <v>8</v>
      </c>
      <c r="F6" s="5">
        <f>COUNTIFS(Tasks!B:B,"Week 1",Tasks!H:H,"Done")</f>
        <v>0</v>
      </c>
      <c r="G6" s="5">
        <f t="shared" ref="G6:G11" si="0">IF(E6&gt;0,ROUND(F6/E6*100,1),0)</f>
        <v>0</v>
      </c>
    </row>
    <row r="7" spans="1:7" x14ac:dyDescent="0.2">
      <c r="A7" s="3" t="s">
        <v>11</v>
      </c>
      <c r="B7">
        <f>COUNTIF(Tasks!H:H,"In Progress")</f>
        <v>0</v>
      </c>
      <c r="D7" s="5" t="s">
        <v>12</v>
      </c>
      <c r="E7" s="5">
        <f>COUNTIF(Tasks!B:B,"Week 2")</f>
        <v>8</v>
      </c>
      <c r="F7" s="5">
        <f>COUNTIFS(Tasks!B:B,"Week 2",Tasks!H:H,"Done")</f>
        <v>0</v>
      </c>
      <c r="G7" s="5">
        <f t="shared" si="0"/>
        <v>0</v>
      </c>
    </row>
    <row r="8" spans="1:7" x14ac:dyDescent="0.2">
      <c r="A8" s="3" t="s">
        <v>13</v>
      </c>
      <c r="B8">
        <f>COUNTIF(Tasks!H:H,"Not Started")</f>
        <v>48</v>
      </c>
      <c r="D8" s="5" t="s">
        <v>14</v>
      </c>
      <c r="E8" s="5">
        <f>COUNTIF(Tasks!B:B,"Week 3")</f>
        <v>8</v>
      </c>
      <c r="F8" s="5">
        <f>COUNTIFS(Tasks!B:B,"Week 3",Tasks!H:H,"Done")</f>
        <v>0</v>
      </c>
      <c r="G8" s="5">
        <f t="shared" si="0"/>
        <v>0</v>
      </c>
    </row>
    <row r="9" spans="1:7" x14ac:dyDescent="0.2">
      <c r="A9" s="3" t="s">
        <v>15</v>
      </c>
      <c r="B9">
        <f>COUNTIF(Tasks!H:H,"Blocked")</f>
        <v>0</v>
      </c>
      <c r="D9" s="5" t="s">
        <v>16</v>
      </c>
      <c r="E9" s="5">
        <f>COUNTIF(Tasks!B:B,"Week 4")</f>
        <v>8</v>
      </c>
      <c r="F9" s="5">
        <f>COUNTIFS(Tasks!B:B,"Week 4",Tasks!H:H,"Done")</f>
        <v>0</v>
      </c>
      <c r="G9" s="5">
        <f t="shared" si="0"/>
        <v>0</v>
      </c>
    </row>
    <row r="10" spans="1:7" x14ac:dyDescent="0.2">
      <c r="A10" s="3" t="s">
        <v>17</v>
      </c>
      <c r="B10">
        <f>IF(B5&gt;0,ROUND(B6/B5*100,1),0)</f>
        <v>0</v>
      </c>
      <c r="D10" s="5" t="s">
        <v>18</v>
      </c>
      <c r="E10" s="5">
        <f>COUNTIF(Tasks!B:B,"Week 5")</f>
        <v>8</v>
      </c>
      <c r="F10" s="5">
        <f>COUNTIFS(Tasks!B:B,"Week 5",Tasks!H:H,"Done")</f>
        <v>0</v>
      </c>
      <c r="G10" s="5">
        <f t="shared" si="0"/>
        <v>0</v>
      </c>
    </row>
    <row r="11" spans="1:7" x14ac:dyDescent="0.2">
      <c r="D11" s="5" t="s">
        <v>19</v>
      </c>
      <c r="E11" s="5">
        <f>COUNTIF(Tasks!B:B,"Week 6")</f>
        <v>8</v>
      </c>
      <c r="F11" s="5">
        <f>COUNTIFS(Tasks!B:B,"Week 6",Tasks!H:H,"Done")</f>
        <v>0</v>
      </c>
      <c r="G11" s="5">
        <f t="shared" si="0"/>
        <v>0</v>
      </c>
    </row>
    <row r="13" spans="1:7" ht="21" x14ac:dyDescent="0.25">
      <c r="A13" s="2" t="s">
        <v>20</v>
      </c>
      <c r="D13" s="2" t="s">
        <v>21</v>
      </c>
    </row>
    <row r="14" spans="1:7" ht="16" x14ac:dyDescent="0.2">
      <c r="A14" s="4" t="s">
        <v>22</v>
      </c>
      <c r="B14" s="4" t="s">
        <v>6</v>
      </c>
      <c r="C14" s="4" t="s">
        <v>7</v>
      </c>
      <c r="D14" s="4" t="s">
        <v>23</v>
      </c>
      <c r="E14" s="4" t="s">
        <v>24</v>
      </c>
      <c r="F14" s="4" t="s">
        <v>7</v>
      </c>
      <c r="G14" s="4" t="s">
        <v>11</v>
      </c>
    </row>
    <row r="15" spans="1:7" x14ac:dyDescent="0.2">
      <c r="A15" s="5" t="s">
        <v>25</v>
      </c>
      <c r="B15" s="5">
        <f>COUNTIF(Tasks!C:C,"Backend")</f>
        <v>12</v>
      </c>
      <c r="C15" s="5">
        <f>COUNTIFS(Tasks!C:C,"Backend",Tasks!H:H,"Done")</f>
        <v>0</v>
      </c>
      <c r="D15" s="5" t="s">
        <v>26</v>
      </c>
      <c r="E15" s="5">
        <f>COUNTIF(Tasks!F:F,"Alex (Backend)")</f>
        <v>0</v>
      </c>
      <c r="F15" s="5">
        <f>COUNTIFS(Tasks!F:F,"Alex (Backend)",Tasks!H:H,"Done")</f>
        <v>0</v>
      </c>
      <c r="G15" s="5">
        <f>COUNTIFS(Tasks!F:F,"Alex (Backend)",Tasks!H:H,"In Progress")</f>
        <v>0</v>
      </c>
    </row>
    <row r="16" spans="1:7" x14ac:dyDescent="0.2">
      <c r="A16" s="5" t="s">
        <v>27</v>
      </c>
      <c r="B16" s="5">
        <f>COUNTIF(Tasks!C:C,"Frontend")</f>
        <v>7</v>
      </c>
      <c r="C16" s="5">
        <f>COUNTIFS(Tasks!C:C,"Frontend",Tasks!H:H,"Done")</f>
        <v>0</v>
      </c>
      <c r="D16" s="5" t="s">
        <v>28</v>
      </c>
      <c r="E16" s="5">
        <f>COUNTIF(Tasks!F:F,"Jordan (Frontend)")</f>
        <v>0</v>
      </c>
      <c r="F16" s="5">
        <f>COUNTIFS(Tasks!F:F,"Jordan (Frontend)",Tasks!H:H,"Done")</f>
        <v>0</v>
      </c>
      <c r="G16" s="5">
        <f>COUNTIFS(Tasks!F:F,"Jordan (Frontend)",Tasks!H:H,"In Progress")</f>
        <v>0</v>
      </c>
    </row>
    <row r="17" spans="1:7" x14ac:dyDescent="0.2">
      <c r="A17" s="5" t="s">
        <v>29</v>
      </c>
      <c r="B17" s="5">
        <f>COUNTIF(Tasks!C:C,"AI/ML")</f>
        <v>8</v>
      </c>
      <c r="C17" s="5">
        <f>COUNTIFS(Tasks!C:C,"AI/ML",Tasks!H:H,"Done")</f>
        <v>0</v>
      </c>
      <c r="D17" s="5" t="s">
        <v>30</v>
      </c>
      <c r="E17" s="5">
        <f>COUNTIF(Tasks!F:F,"Sam (AI/ML)")</f>
        <v>0</v>
      </c>
      <c r="F17" s="5">
        <f>COUNTIFS(Tasks!F:F,"Sam (AI/ML)",Tasks!H:H,"Done")</f>
        <v>0</v>
      </c>
      <c r="G17" s="5">
        <f>COUNTIFS(Tasks!F:F,"Sam (AI/ML)",Tasks!H:H,"In Progress")</f>
        <v>0</v>
      </c>
    </row>
    <row r="18" spans="1:7" x14ac:dyDescent="0.2">
      <c r="A18" s="5" t="s">
        <v>31</v>
      </c>
      <c r="B18" s="5">
        <f>COUNTIF(Tasks!C:C,"DevOps")</f>
        <v>7</v>
      </c>
      <c r="C18" s="5">
        <f>COUNTIFS(Tasks!C:C,"DevOps",Tasks!H:H,"Done")</f>
        <v>0</v>
      </c>
      <c r="D18" s="5" t="s">
        <v>32</v>
      </c>
      <c r="E18" s="5">
        <f>COUNTIF(Tasks!F:F,"Taylor (DevOps)")</f>
        <v>1</v>
      </c>
      <c r="F18" s="5">
        <f>COUNTIFS(Tasks!F:F,"Taylor (DevOps)",Tasks!H:H,"Done")</f>
        <v>0</v>
      </c>
      <c r="G18" s="5">
        <f>COUNTIFS(Tasks!F:F,"Taylor (DevOps)",Tasks!H:H,"In Progress")</f>
        <v>0</v>
      </c>
    </row>
    <row r="19" spans="1:7" x14ac:dyDescent="0.2">
      <c r="A19" s="5" t="s">
        <v>33</v>
      </c>
      <c r="B19" s="5">
        <f>COUNTIF(Tasks!C:C,"Design")</f>
        <v>2</v>
      </c>
      <c r="C19" s="5">
        <f>COUNTIFS(Tasks!C:C,"Design",Tasks!H:H,"Done")</f>
        <v>0</v>
      </c>
      <c r="D19" s="5" t="s">
        <v>34</v>
      </c>
      <c r="E19" s="5">
        <f>COUNTIF(Tasks!F:F,"Morgan (QA)")</f>
        <v>0</v>
      </c>
      <c r="F19" s="5">
        <f>COUNTIFS(Tasks!F:F,"Morgan (QA)",Tasks!H:H,"Done")</f>
        <v>0</v>
      </c>
      <c r="G19" s="5">
        <f>COUNTIFS(Tasks!F:F,"Morgan (QA)",Tasks!H:H,"In Progress")</f>
        <v>0</v>
      </c>
    </row>
    <row r="20" spans="1:7" x14ac:dyDescent="0.2">
      <c r="A20" s="5" t="s">
        <v>35</v>
      </c>
      <c r="B20" s="5">
        <f>COUNTIF(Tasks!C:C,"Testing")</f>
        <v>8</v>
      </c>
      <c r="C20" s="5">
        <f>COUNTIFS(Tasks!C:C,"Testing",Tasks!H:H,"Done")</f>
        <v>0</v>
      </c>
      <c r="D20" s="5" t="s">
        <v>36</v>
      </c>
      <c r="E20" s="5">
        <f>COUNTIF(Tasks!F:F,"Casey (Design)")</f>
        <v>0</v>
      </c>
      <c r="F20" s="5">
        <f>COUNTIFS(Tasks!F:F,"Casey (Design)",Tasks!H:H,"Done")</f>
        <v>0</v>
      </c>
      <c r="G20" s="5">
        <f>COUNTIFS(Tasks!F:F,"Casey (Design)",Tasks!H:H,"In Progress")</f>
        <v>0</v>
      </c>
    </row>
    <row r="21" spans="1:7" x14ac:dyDescent="0.2">
      <c r="A21" s="5" t="s">
        <v>37</v>
      </c>
      <c r="B21" s="5">
        <f>COUNTIF(Tasks!C:C,"Documentation")</f>
        <v>4</v>
      </c>
      <c r="C21" s="5">
        <f>COUNTIFS(Tasks!C:C,"Documentation",Tasks!H:H,"Done")</f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"/>
  <sheetViews>
    <sheetView tabSelected="1" workbookViewId="0">
      <pane ySplit="1" topLeftCell="A2" activePane="bottomLeft" state="frozen"/>
      <selection pane="bottomLeft" activeCell="F35" sqref="F35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14" customWidth="1"/>
    <col min="4" max="4" width="35" customWidth="1"/>
    <col min="5" max="5" width="45" customWidth="1"/>
    <col min="6" max="6" width="18" customWidth="1"/>
    <col min="7" max="7" width="10" customWidth="1"/>
    <col min="8" max="8" width="14" customWidth="1"/>
    <col min="9" max="10" width="12" customWidth="1"/>
    <col min="11" max="11" width="30" customWidth="1"/>
  </cols>
  <sheetData>
    <row r="1" spans="1:11" ht="16" x14ac:dyDescent="0.2">
      <c r="A1" s="6" t="s">
        <v>38</v>
      </c>
      <c r="B1" s="6" t="s">
        <v>5</v>
      </c>
      <c r="C1" s="6" t="s">
        <v>22</v>
      </c>
      <c r="D1" s="6" t="s">
        <v>39</v>
      </c>
      <c r="E1" s="6" t="s">
        <v>40</v>
      </c>
      <c r="F1" s="6" t="s">
        <v>23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</row>
    <row r="2" spans="1:11" x14ac:dyDescent="0.2">
      <c r="A2" s="5" t="s">
        <v>46</v>
      </c>
      <c r="B2" s="5" t="s">
        <v>10</v>
      </c>
      <c r="C2" s="5" t="s">
        <v>37</v>
      </c>
      <c r="D2" s="5" t="s">
        <v>47</v>
      </c>
      <c r="E2" s="5" t="s">
        <v>48</v>
      </c>
      <c r="F2" s="5" t="s">
        <v>203</v>
      </c>
      <c r="G2" s="5" t="s">
        <v>49</v>
      </c>
      <c r="H2" s="5" t="s">
        <v>13</v>
      </c>
      <c r="I2" s="7">
        <v>45670</v>
      </c>
      <c r="J2" s="7">
        <v>45674</v>
      </c>
      <c r="K2" s="5"/>
    </row>
    <row r="3" spans="1:11" x14ac:dyDescent="0.2">
      <c r="A3" s="5" t="s">
        <v>50</v>
      </c>
      <c r="B3" s="5" t="s">
        <v>10</v>
      </c>
      <c r="C3" s="5" t="s">
        <v>31</v>
      </c>
      <c r="D3" s="5" t="s">
        <v>51</v>
      </c>
      <c r="E3" s="5" t="s">
        <v>52</v>
      </c>
      <c r="F3" s="5" t="s">
        <v>206</v>
      </c>
      <c r="G3" s="5" t="s">
        <v>49</v>
      </c>
      <c r="H3" s="5" t="s">
        <v>13</v>
      </c>
      <c r="I3" s="7">
        <v>45670</v>
      </c>
      <c r="J3" s="7">
        <v>45672</v>
      </c>
      <c r="K3" s="5"/>
    </row>
    <row r="4" spans="1:11" x14ac:dyDescent="0.2">
      <c r="A4" s="5" t="s">
        <v>53</v>
      </c>
      <c r="B4" s="5" t="s">
        <v>10</v>
      </c>
      <c r="C4" s="5" t="s">
        <v>31</v>
      </c>
      <c r="D4" s="5" t="s">
        <v>54</v>
      </c>
      <c r="E4" s="5" t="s">
        <v>55</v>
      </c>
      <c r="F4" s="5" t="s">
        <v>206</v>
      </c>
      <c r="G4" s="5" t="s">
        <v>49</v>
      </c>
      <c r="H4" s="5" t="s">
        <v>13</v>
      </c>
      <c r="I4" s="7">
        <v>45671</v>
      </c>
      <c r="J4" s="7">
        <v>45672</v>
      </c>
      <c r="K4" s="5"/>
    </row>
    <row r="5" spans="1:11" x14ac:dyDescent="0.2">
      <c r="A5" s="5" t="s">
        <v>56</v>
      </c>
      <c r="B5" s="5" t="s">
        <v>10</v>
      </c>
      <c r="C5" s="5" t="s">
        <v>31</v>
      </c>
      <c r="D5" s="5" t="s">
        <v>57</v>
      </c>
      <c r="E5" s="5" t="s">
        <v>58</v>
      </c>
      <c r="F5" s="5" t="s">
        <v>206</v>
      </c>
      <c r="G5" s="5" t="s">
        <v>59</v>
      </c>
      <c r="H5" s="5" t="s">
        <v>13</v>
      </c>
      <c r="I5" s="7">
        <v>45672</v>
      </c>
      <c r="J5" s="7">
        <v>45674</v>
      </c>
      <c r="K5" s="5"/>
    </row>
    <row r="6" spans="1:11" x14ac:dyDescent="0.2">
      <c r="A6" s="5" t="s">
        <v>60</v>
      </c>
      <c r="B6" s="5" t="s">
        <v>10</v>
      </c>
      <c r="C6" s="5" t="s">
        <v>25</v>
      </c>
      <c r="D6" s="5" t="s">
        <v>61</v>
      </c>
      <c r="E6" s="5" t="s">
        <v>62</v>
      </c>
      <c r="F6" s="5" t="s">
        <v>206</v>
      </c>
      <c r="G6" s="5" t="s">
        <v>49</v>
      </c>
      <c r="H6" s="5" t="s">
        <v>13</v>
      </c>
      <c r="I6" s="7">
        <v>45671</v>
      </c>
      <c r="J6" s="7">
        <v>45673</v>
      </c>
      <c r="K6" s="5"/>
    </row>
    <row r="7" spans="1:11" x14ac:dyDescent="0.2">
      <c r="A7" s="5" t="s">
        <v>63</v>
      </c>
      <c r="B7" s="5" t="s">
        <v>10</v>
      </c>
      <c r="C7" s="5" t="s">
        <v>37</v>
      </c>
      <c r="D7" s="5" t="s">
        <v>64</v>
      </c>
      <c r="E7" s="5" t="s">
        <v>65</v>
      </c>
      <c r="F7" s="5" t="s">
        <v>206</v>
      </c>
      <c r="G7" s="5" t="s">
        <v>49</v>
      </c>
      <c r="H7" s="5" t="s">
        <v>13</v>
      </c>
      <c r="I7" s="7">
        <v>45672</v>
      </c>
      <c r="J7" s="7">
        <v>45674</v>
      </c>
      <c r="K7" s="5"/>
    </row>
    <row r="8" spans="1:11" x14ac:dyDescent="0.2">
      <c r="A8" s="5" t="s">
        <v>66</v>
      </c>
      <c r="B8" s="5" t="s">
        <v>10</v>
      </c>
      <c r="C8" s="5" t="s">
        <v>27</v>
      </c>
      <c r="D8" s="5" t="s">
        <v>67</v>
      </c>
      <c r="E8" s="5" t="s">
        <v>68</v>
      </c>
      <c r="F8" s="5" t="s">
        <v>206</v>
      </c>
      <c r="G8" s="5" t="s">
        <v>49</v>
      </c>
      <c r="H8" s="5" t="s">
        <v>13</v>
      </c>
      <c r="I8" s="7">
        <v>45670</v>
      </c>
      <c r="J8" s="7">
        <v>45672</v>
      </c>
      <c r="K8" s="5"/>
    </row>
    <row r="9" spans="1:11" x14ac:dyDescent="0.2">
      <c r="A9" s="5" t="s">
        <v>69</v>
      </c>
      <c r="B9" s="5" t="s">
        <v>10</v>
      </c>
      <c r="C9" s="5" t="s">
        <v>25</v>
      </c>
      <c r="D9" s="5" t="s">
        <v>70</v>
      </c>
      <c r="E9" s="5" t="s">
        <v>71</v>
      </c>
      <c r="F9" s="5" t="s">
        <v>206</v>
      </c>
      <c r="G9" s="5" t="s">
        <v>49</v>
      </c>
      <c r="H9" s="5" t="s">
        <v>13</v>
      </c>
      <c r="I9" s="7">
        <v>45670</v>
      </c>
      <c r="J9" s="7">
        <v>45672</v>
      </c>
      <c r="K9" s="5"/>
    </row>
    <row r="10" spans="1:11" x14ac:dyDescent="0.2">
      <c r="A10" s="5" t="s">
        <v>72</v>
      </c>
      <c r="B10" s="5" t="s">
        <v>12</v>
      </c>
      <c r="C10" s="5" t="s">
        <v>29</v>
      </c>
      <c r="D10" s="5" t="s">
        <v>73</v>
      </c>
      <c r="E10" s="5" t="s">
        <v>74</v>
      </c>
      <c r="F10" s="5" t="s">
        <v>206</v>
      </c>
      <c r="G10" s="5" t="s">
        <v>49</v>
      </c>
      <c r="H10" s="5" t="s">
        <v>13</v>
      </c>
      <c r="I10" s="7">
        <v>45675</v>
      </c>
      <c r="J10" s="7">
        <v>45678</v>
      </c>
      <c r="K10" s="5"/>
    </row>
    <row r="11" spans="1:11" x14ac:dyDescent="0.2">
      <c r="A11" s="5" t="s">
        <v>75</v>
      </c>
      <c r="B11" s="5" t="s">
        <v>12</v>
      </c>
      <c r="C11" s="5" t="s">
        <v>29</v>
      </c>
      <c r="D11" s="5" t="s">
        <v>76</v>
      </c>
      <c r="E11" s="5" t="s">
        <v>77</v>
      </c>
      <c r="F11" s="5" t="s">
        <v>206</v>
      </c>
      <c r="G11" s="5" t="s">
        <v>49</v>
      </c>
      <c r="H11" s="5" t="s">
        <v>13</v>
      </c>
      <c r="I11" s="7">
        <v>45675</v>
      </c>
      <c r="J11" s="7">
        <v>45677</v>
      </c>
      <c r="K11" s="5"/>
    </row>
    <row r="12" spans="1:11" x14ac:dyDescent="0.2">
      <c r="A12" s="5" t="s">
        <v>78</v>
      </c>
      <c r="B12" s="5" t="s">
        <v>12</v>
      </c>
      <c r="C12" s="5" t="s">
        <v>25</v>
      </c>
      <c r="D12" s="5" t="s">
        <v>79</v>
      </c>
      <c r="E12" s="5" t="s">
        <v>80</v>
      </c>
      <c r="F12" s="5" t="s">
        <v>206</v>
      </c>
      <c r="G12" s="5" t="s">
        <v>49</v>
      </c>
      <c r="H12" s="5" t="s">
        <v>13</v>
      </c>
      <c r="I12" s="7">
        <v>45675</v>
      </c>
      <c r="J12" s="7">
        <v>45679</v>
      </c>
      <c r="K12" s="5"/>
    </row>
    <row r="13" spans="1:11" x14ac:dyDescent="0.2">
      <c r="A13" s="5" t="s">
        <v>81</v>
      </c>
      <c r="B13" s="5" t="s">
        <v>12</v>
      </c>
      <c r="C13" s="5" t="s">
        <v>25</v>
      </c>
      <c r="D13" s="5" t="s">
        <v>82</v>
      </c>
      <c r="E13" s="5" t="s">
        <v>83</v>
      </c>
      <c r="F13" s="5" t="s">
        <v>206</v>
      </c>
      <c r="G13" s="5" t="s">
        <v>49</v>
      </c>
      <c r="H13" s="5" t="s">
        <v>13</v>
      </c>
      <c r="I13" s="7">
        <v>45675</v>
      </c>
      <c r="J13" s="7">
        <v>45678</v>
      </c>
      <c r="K13" s="5"/>
    </row>
    <row r="14" spans="1:11" x14ac:dyDescent="0.2">
      <c r="A14" s="5" t="s">
        <v>84</v>
      </c>
      <c r="B14" s="5" t="s">
        <v>12</v>
      </c>
      <c r="C14" s="5" t="s">
        <v>25</v>
      </c>
      <c r="D14" s="5" t="s">
        <v>85</v>
      </c>
      <c r="E14" s="5" t="s">
        <v>86</v>
      </c>
      <c r="F14" s="5" t="s">
        <v>206</v>
      </c>
      <c r="G14" s="5" t="s">
        <v>49</v>
      </c>
      <c r="H14" s="5" t="s">
        <v>13</v>
      </c>
      <c r="I14" s="7">
        <v>45677</v>
      </c>
      <c r="J14" s="7">
        <v>45679</v>
      </c>
      <c r="K14" s="5"/>
    </row>
    <row r="15" spans="1:11" x14ac:dyDescent="0.2">
      <c r="A15" s="5" t="s">
        <v>87</v>
      </c>
      <c r="B15" s="5" t="s">
        <v>12</v>
      </c>
      <c r="C15" s="5" t="s">
        <v>25</v>
      </c>
      <c r="D15" s="5" t="s">
        <v>88</v>
      </c>
      <c r="E15" s="5" t="s">
        <v>89</v>
      </c>
      <c r="F15" s="5" t="s">
        <v>206</v>
      </c>
      <c r="G15" s="5" t="s">
        <v>59</v>
      </c>
      <c r="H15" s="5" t="s">
        <v>13</v>
      </c>
      <c r="I15" s="7">
        <v>45676</v>
      </c>
      <c r="J15" s="7">
        <v>45678</v>
      </c>
      <c r="K15" s="5"/>
    </row>
    <row r="16" spans="1:11" x14ac:dyDescent="0.2">
      <c r="A16" s="5" t="s">
        <v>90</v>
      </c>
      <c r="B16" s="5" t="s">
        <v>12</v>
      </c>
      <c r="C16" s="5" t="s">
        <v>25</v>
      </c>
      <c r="D16" s="5" t="s">
        <v>91</v>
      </c>
      <c r="E16" s="5" t="s">
        <v>92</v>
      </c>
      <c r="F16" s="5" t="s">
        <v>206</v>
      </c>
      <c r="G16" s="5" t="s">
        <v>59</v>
      </c>
      <c r="H16" s="5" t="s">
        <v>13</v>
      </c>
      <c r="I16" s="7">
        <v>45677</v>
      </c>
      <c r="J16" s="7">
        <v>45679</v>
      </c>
      <c r="K16" s="5"/>
    </row>
    <row r="17" spans="1:11" x14ac:dyDescent="0.2">
      <c r="A17" s="5" t="s">
        <v>93</v>
      </c>
      <c r="B17" s="5" t="s">
        <v>12</v>
      </c>
      <c r="C17" s="5" t="s">
        <v>25</v>
      </c>
      <c r="D17" s="5" t="s">
        <v>94</v>
      </c>
      <c r="E17" s="5" t="s">
        <v>95</v>
      </c>
      <c r="F17" s="5" t="s">
        <v>206</v>
      </c>
      <c r="G17" s="5" t="s">
        <v>59</v>
      </c>
      <c r="H17" s="5" t="s">
        <v>13</v>
      </c>
      <c r="I17" s="7">
        <v>45678</v>
      </c>
      <c r="J17" s="7">
        <v>45679</v>
      </c>
      <c r="K17" s="5"/>
    </row>
    <row r="18" spans="1:11" x14ac:dyDescent="0.2">
      <c r="A18" s="5" t="s">
        <v>96</v>
      </c>
      <c r="B18" s="5" t="s">
        <v>14</v>
      </c>
      <c r="C18" s="5" t="s">
        <v>29</v>
      </c>
      <c r="D18" s="5" t="s">
        <v>97</v>
      </c>
      <c r="E18" s="5" t="s">
        <v>98</v>
      </c>
      <c r="F18" s="5" t="s">
        <v>206</v>
      </c>
      <c r="G18" s="5" t="s">
        <v>49</v>
      </c>
      <c r="H18" s="5" t="s">
        <v>13</v>
      </c>
      <c r="I18" s="7">
        <v>45680</v>
      </c>
      <c r="J18" s="7">
        <v>45683</v>
      </c>
      <c r="K18" s="5"/>
    </row>
    <row r="19" spans="1:11" x14ac:dyDescent="0.2">
      <c r="A19" s="5" t="s">
        <v>99</v>
      </c>
      <c r="B19" s="5" t="s">
        <v>14</v>
      </c>
      <c r="C19" s="5" t="s">
        <v>29</v>
      </c>
      <c r="D19" s="5" t="s">
        <v>100</v>
      </c>
      <c r="E19" s="5" t="s">
        <v>101</v>
      </c>
      <c r="F19" s="5" t="s">
        <v>206</v>
      </c>
      <c r="G19" s="5" t="s">
        <v>49</v>
      </c>
      <c r="H19" s="5" t="s">
        <v>13</v>
      </c>
      <c r="I19" s="7">
        <v>45680</v>
      </c>
      <c r="J19" s="7">
        <v>45683</v>
      </c>
      <c r="K19" s="5"/>
    </row>
    <row r="20" spans="1:11" x14ac:dyDescent="0.2">
      <c r="A20" s="5" t="s">
        <v>102</v>
      </c>
      <c r="B20" s="5" t="s">
        <v>14</v>
      </c>
      <c r="C20" s="5" t="s">
        <v>29</v>
      </c>
      <c r="D20" s="5" t="s">
        <v>103</v>
      </c>
      <c r="E20" s="5" t="s">
        <v>104</v>
      </c>
      <c r="F20" s="5" t="s">
        <v>206</v>
      </c>
      <c r="G20" s="5" t="s">
        <v>49</v>
      </c>
      <c r="H20" s="5" t="s">
        <v>13</v>
      </c>
      <c r="I20" s="7">
        <v>45681</v>
      </c>
      <c r="J20" s="7">
        <v>45684</v>
      </c>
      <c r="K20" s="5"/>
    </row>
    <row r="21" spans="1:11" x14ac:dyDescent="0.2">
      <c r="A21" s="5" t="s">
        <v>105</v>
      </c>
      <c r="B21" s="5" t="s">
        <v>14</v>
      </c>
      <c r="C21" s="5" t="s">
        <v>29</v>
      </c>
      <c r="D21" s="5" t="s">
        <v>106</v>
      </c>
      <c r="E21" s="5" t="s">
        <v>107</v>
      </c>
      <c r="F21" s="5" t="s">
        <v>206</v>
      </c>
      <c r="G21" s="5" t="s">
        <v>49</v>
      </c>
      <c r="H21" s="5" t="s">
        <v>13</v>
      </c>
      <c r="I21" s="7">
        <v>45682</v>
      </c>
      <c r="J21" s="7">
        <v>45684</v>
      </c>
      <c r="K21" s="5"/>
    </row>
    <row r="22" spans="1:11" x14ac:dyDescent="0.2">
      <c r="A22" s="5" t="s">
        <v>108</v>
      </c>
      <c r="B22" s="5" t="s">
        <v>14</v>
      </c>
      <c r="C22" s="5" t="s">
        <v>29</v>
      </c>
      <c r="D22" s="5" t="s">
        <v>109</v>
      </c>
      <c r="E22" s="5" t="s">
        <v>110</v>
      </c>
      <c r="F22" s="5" t="s">
        <v>206</v>
      </c>
      <c r="G22" s="5" t="s">
        <v>49</v>
      </c>
      <c r="H22" s="5" t="s">
        <v>13</v>
      </c>
      <c r="I22" s="7">
        <v>45682</v>
      </c>
      <c r="J22" s="7">
        <v>45684</v>
      </c>
      <c r="K22" s="5"/>
    </row>
    <row r="23" spans="1:11" x14ac:dyDescent="0.2">
      <c r="A23" s="5" t="s">
        <v>111</v>
      </c>
      <c r="B23" s="5" t="s">
        <v>14</v>
      </c>
      <c r="C23" s="5" t="s">
        <v>25</v>
      </c>
      <c r="D23" s="5" t="s">
        <v>112</v>
      </c>
      <c r="E23" s="5" t="s">
        <v>113</v>
      </c>
      <c r="F23" s="5" t="s">
        <v>206</v>
      </c>
      <c r="G23" s="5" t="s">
        <v>49</v>
      </c>
      <c r="H23" s="5" t="s">
        <v>13</v>
      </c>
      <c r="I23" s="7">
        <v>45682</v>
      </c>
      <c r="J23" s="7">
        <v>45684</v>
      </c>
      <c r="K23" s="5"/>
    </row>
    <row r="24" spans="1:11" x14ac:dyDescent="0.2">
      <c r="A24" s="5" t="s">
        <v>114</v>
      </c>
      <c r="B24" s="5" t="s">
        <v>14</v>
      </c>
      <c r="C24" s="5" t="s">
        <v>29</v>
      </c>
      <c r="D24" s="5" t="s">
        <v>115</v>
      </c>
      <c r="E24" s="5" t="s">
        <v>116</v>
      </c>
      <c r="F24" s="5" t="s">
        <v>206</v>
      </c>
      <c r="G24" s="5" t="s">
        <v>59</v>
      </c>
      <c r="H24" s="5" t="s">
        <v>13</v>
      </c>
      <c r="I24" s="7">
        <v>45683</v>
      </c>
      <c r="J24" s="7">
        <v>45684</v>
      </c>
      <c r="K24" s="5"/>
    </row>
    <row r="25" spans="1:11" x14ac:dyDescent="0.2">
      <c r="A25" s="5" t="s">
        <v>117</v>
      </c>
      <c r="B25" s="5" t="s">
        <v>14</v>
      </c>
      <c r="C25" s="5" t="s">
        <v>25</v>
      </c>
      <c r="D25" s="5" t="s">
        <v>118</v>
      </c>
      <c r="E25" s="5" t="s">
        <v>119</v>
      </c>
      <c r="F25" s="5" t="s">
        <v>206</v>
      </c>
      <c r="G25" s="5" t="s">
        <v>59</v>
      </c>
      <c r="H25" s="5" t="s">
        <v>13</v>
      </c>
      <c r="I25" s="7">
        <v>45683</v>
      </c>
      <c r="J25" s="7">
        <v>45684</v>
      </c>
      <c r="K25" s="5"/>
    </row>
    <row r="26" spans="1:11" x14ac:dyDescent="0.2">
      <c r="A26" s="5" t="s">
        <v>120</v>
      </c>
      <c r="B26" s="5" t="s">
        <v>16</v>
      </c>
      <c r="C26" s="5" t="s">
        <v>33</v>
      </c>
      <c r="D26" s="5" t="s">
        <v>121</v>
      </c>
      <c r="E26" s="5" t="s">
        <v>122</v>
      </c>
      <c r="F26" s="5" t="s">
        <v>205</v>
      </c>
      <c r="G26" s="5" t="s">
        <v>49</v>
      </c>
      <c r="H26" s="5" t="s">
        <v>13</v>
      </c>
      <c r="I26" s="7">
        <v>45685</v>
      </c>
      <c r="J26" s="7">
        <v>45687</v>
      </c>
      <c r="K26" s="5"/>
    </row>
    <row r="27" spans="1:11" x14ac:dyDescent="0.2">
      <c r="A27" s="5" t="s">
        <v>123</v>
      </c>
      <c r="B27" s="5" t="s">
        <v>16</v>
      </c>
      <c r="C27" s="5" t="s">
        <v>27</v>
      </c>
      <c r="D27" s="5" t="s">
        <v>124</v>
      </c>
      <c r="E27" s="5" t="s">
        <v>125</v>
      </c>
      <c r="F27" s="5" t="s">
        <v>205</v>
      </c>
      <c r="G27" s="5" t="s">
        <v>49</v>
      </c>
      <c r="H27" s="5" t="s">
        <v>13</v>
      </c>
      <c r="I27" s="7">
        <v>45685</v>
      </c>
      <c r="J27" s="7">
        <v>45687</v>
      </c>
      <c r="K27" s="5"/>
    </row>
    <row r="28" spans="1:11" x14ac:dyDescent="0.2">
      <c r="A28" s="5" t="s">
        <v>126</v>
      </c>
      <c r="B28" s="5" t="s">
        <v>16</v>
      </c>
      <c r="C28" s="5" t="s">
        <v>27</v>
      </c>
      <c r="D28" s="5" t="s">
        <v>127</v>
      </c>
      <c r="E28" s="5" t="s">
        <v>128</v>
      </c>
      <c r="F28" s="5" t="s">
        <v>205</v>
      </c>
      <c r="G28" s="5" t="s">
        <v>49</v>
      </c>
      <c r="H28" s="5" t="s">
        <v>13</v>
      </c>
      <c r="I28" s="7">
        <v>45686</v>
      </c>
      <c r="J28" s="7">
        <v>45689</v>
      </c>
      <c r="K28" s="5"/>
    </row>
    <row r="29" spans="1:11" x14ac:dyDescent="0.2">
      <c r="A29" s="5" t="s">
        <v>129</v>
      </c>
      <c r="B29" s="5" t="s">
        <v>16</v>
      </c>
      <c r="C29" s="5" t="s">
        <v>27</v>
      </c>
      <c r="D29" s="5" t="s">
        <v>130</v>
      </c>
      <c r="E29" s="5" t="s">
        <v>131</v>
      </c>
      <c r="F29" s="5" t="s">
        <v>205</v>
      </c>
      <c r="G29" s="5" t="s">
        <v>49</v>
      </c>
      <c r="H29" s="5" t="s">
        <v>13</v>
      </c>
      <c r="I29" s="7">
        <v>45687</v>
      </c>
      <c r="J29" s="7">
        <v>45689</v>
      </c>
      <c r="K29" s="5"/>
    </row>
    <row r="30" spans="1:11" x14ac:dyDescent="0.2">
      <c r="A30" s="5" t="s">
        <v>132</v>
      </c>
      <c r="B30" s="5" t="s">
        <v>16</v>
      </c>
      <c r="C30" s="5" t="s">
        <v>27</v>
      </c>
      <c r="D30" s="5" t="s">
        <v>133</v>
      </c>
      <c r="E30" s="5" t="s">
        <v>134</v>
      </c>
      <c r="F30" s="5" t="s">
        <v>205</v>
      </c>
      <c r="G30" s="5" t="s">
        <v>49</v>
      </c>
      <c r="H30" s="5" t="s">
        <v>13</v>
      </c>
      <c r="I30" s="7">
        <v>45687</v>
      </c>
      <c r="J30" s="7">
        <v>45688</v>
      </c>
      <c r="K30" s="5"/>
    </row>
    <row r="31" spans="1:11" x14ac:dyDescent="0.2">
      <c r="A31" s="5" t="s">
        <v>135</v>
      </c>
      <c r="B31" s="5" t="s">
        <v>16</v>
      </c>
      <c r="C31" s="5" t="s">
        <v>27</v>
      </c>
      <c r="D31" s="5" t="s">
        <v>136</v>
      </c>
      <c r="E31" s="5" t="s">
        <v>137</v>
      </c>
      <c r="F31" s="5" t="s">
        <v>205</v>
      </c>
      <c r="G31" s="5" t="s">
        <v>59</v>
      </c>
      <c r="H31" s="5" t="s">
        <v>13</v>
      </c>
      <c r="I31" s="7">
        <v>45686</v>
      </c>
      <c r="J31" s="7">
        <v>45687</v>
      </c>
      <c r="K31" s="5"/>
    </row>
    <row r="32" spans="1:11" x14ac:dyDescent="0.2">
      <c r="A32" s="5" t="s">
        <v>138</v>
      </c>
      <c r="B32" s="5" t="s">
        <v>16</v>
      </c>
      <c r="C32" s="5" t="s">
        <v>27</v>
      </c>
      <c r="D32" s="5" t="s">
        <v>139</v>
      </c>
      <c r="E32" s="5" t="s">
        <v>140</v>
      </c>
      <c r="F32" s="5" t="s">
        <v>205</v>
      </c>
      <c r="G32" s="5" t="s">
        <v>59</v>
      </c>
      <c r="H32" s="5" t="s">
        <v>13</v>
      </c>
      <c r="I32" s="7">
        <v>45688</v>
      </c>
      <c r="J32" s="7">
        <v>45689</v>
      </c>
      <c r="K32" s="5"/>
    </row>
    <row r="33" spans="1:11" x14ac:dyDescent="0.2">
      <c r="A33" s="5" t="s">
        <v>141</v>
      </c>
      <c r="B33" s="5" t="s">
        <v>16</v>
      </c>
      <c r="C33" s="5" t="s">
        <v>33</v>
      </c>
      <c r="D33" s="5" t="s">
        <v>142</v>
      </c>
      <c r="E33" s="5" t="s">
        <v>143</v>
      </c>
      <c r="F33" s="5" t="s">
        <v>205</v>
      </c>
      <c r="G33" s="5" t="s">
        <v>144</v>
      </c>
      <c r="H33" s="5" t="s">
        <v>13</v>
      </c>
      <c r="I33" s="7">
        <v>45688</v>
      </c>
      <c r="J33" s="7">
        <v>45689</v>
      </c>
      <c r="K33" s="5"/>
    </row>
    <row r="34" spans="1:11" x14ac:dyDescent="0.2">
      <c r="A34" s="5" t="s">
        <v>145</v>
      </c>
      <c r="B34" s="5" t="s">
        <v>18</v>
      </c>
      <c r="C34" s="5" t="s">
        <v>35</v>
      </c>
      <c r="D34" s="5" t="s">
        <v>146</v>
      </c>
      <c r="E34" s="5" t="s">
        <v>147</v>
      </c>
      <c r="F34" s="5" t="s">
        <v>205</v>
      </c>
      <c r="G34" s="5" t="s">
        <v>49</v>
      </c>
      <c r="H34" s="5" t="s">
        <v>13</v>
      </c>
      <c r="I34" s="7">
        <v>45690</v>
      </c>
      <c r="J34" s="7">
        <v>45692</v>
      </c>
      <c r="K34" s="5"/>
    </row>
    <row r="35" spans="1:11" x14ac:dyDescent="0.2">
      <c r="A35" s="5" t="s">
        <v>148</v>
      </c>
      <c r="B35" s="5" t="s">
        <v>18</v>
      </c>
      <c r="C35" s="5" t="s">
        <v>35</v>
      </c>
      <c r="D35" s="5" t="s">
        <v>149</v>
      </c>
      <c r="E35" s="5" t="s">
        <v>150</v>
      </c>
      <c r="F35" s="5" t="s">
        <v>208</v>
      </c>
      <c r="G35" s="5" t="s">
        <v>49</v>
      </c>
      <c r="H35" s="5" t="s">
        <v>13</v>
      </c>
      <c r="I35" s="7">
        <v>45690</v>
      </c>
      <c r="J35" s="7">
        <v>45693</v>
      </c>
      <c r="K35" s="5"/>
    </row>
    <row r="36" spans="1:11" x14ac:dyDescent="0.2">
      <c r="A36" s="5" t="s">
        <v>151</v>
      </c>
      <c r="B36" s="5" t="s">
        <v>18</v>
      </c>
      <c r="C36" s="5" t="s">
        <v>35</v>
      </c>
      <c r="D36" s="5" t="s">
        <v>152</v>
      </c>
      <c r="E36" s="5" t="s">
        <v>153</v>
      </c>
      <c r="F36" s="5" t="s">
        <v>208</v>
      </c>
      <c r="G36" s="5" t="s">
        <v>49</v>
      </c>
      <c r="H36" s="5" t="s">
        <v>13</v>
      </c>
      <c r="I36" s="7">
        <v>45691</v>
      </c>
      <c r="J36" s="7">
        <v>45693</v>
      </c>
      <c r="K36" s="5"/>
    </row>
    <row r="37" spans="1:11" x14ac:dyDescent="0.2">
      <c r="A37" s="5" t="s">
        <v>154</v>
      </c>
      <c r="B37" s="5" t="s">
        <v>18</v>
      </c>
      <c r="C37" s="5" t="s">
        <v>25</v>
      </c>
      <c r="D37" s="5" t="s">
        <v>155</v>
      </c>
      <c r="E37" s="5" t="s">
        <v>156</v>
      </c>
      <c r="F37" s="5" t="s">
        <v>204</v>
      </c>
      <c r="G37" s="5" t="s">
        <v>49</v>
      </c>
      <c r="H37" s="5" t="s">
        <v>13</v>
      </c>
      <c r="I37" s="7">
        <v>45691</v>
      </c>
      <c r="J37" s="7">
        <v>45693</v>
      </c>
      <c r="K37" s="5"/>
    </row>
    <row r="38" spans="1:11" x14ac:dyDescent="0.2">
      <c r="A38" s="5" t="s">
        <v>157</v>
      </c>
      <c r="B38" s="5" t="s">
        <v>18</v>
      </c>
      <c r="C38" s="5" t="s">
        <v>35</v>
      </c>
      <c r="D38" s="5" t="s">
        <v>158</v>
      </c>
      <c r="E38" s="5" t="s">
        <v>159</v>
      </c>
      <c r="F38" s="5" t="s">
        <v>32</v>
      </c>
      <c r="G38" s="5" t="s">
        <v>49</v>
      </c>
      <c r="H38" s="5" t="s">
        <v>13</v>
      </c>
      <c r="I38" s="7">
        <v>45692</v>
      </c>
      <c r="J38" s="7">
        <v>45694</v>
      </c>
      <c r="K38" s="5"/>
    </row>
    <row r="39" spans="1:11" x14ac:dyDescent="0.2">
      <c r="A39" s="5" t="s">
        <v>160</v>
      </c>
      <c r="B39" s="5" t="s">
        <v>18</v>
      </c>
      <c r="C39" s="5" t="s">
        <v>25</v>
      </c>
      <c r="D39" s="5" t="s">
        <v>161</v>
      </c>
      <c r="E39" s="5" t="s">
        <v>162</v>
      </c>
      <c r="F39" s="5" t="s">
        <v>207</v>
      </c>
      <c r="G39" s="5" t="s">
        <v>59</v>
      </c>
      <c r="H39" s="5" t="s">
        <v>13</v>
      </c>
      <c r="I39" s="7">
        <v>45692</v>
      </c>
      <c r="J39" s="7">
        <v>45693</v>
      </c>
      <c r="K39" s="5"/>
    </row>
    <row r="40" spans="1:11" x14ac:dyDescent="0.2">
      <c r="A40" s="5" t="s">
        <v>163</v>
      </c>
      <c r="B40" s="5" t="s">
        <v>18</v>
      </c>
      <c r="C40" s="5" t="s">
        <v>35</v>
      </c>
      <c r="D40" s="5" t="s">
        <v>164</v>
      </c>
      <c r="E40" s="5" t="s">
        <v>165</v>
      </c>
      <c r="F40" s="5" t="s">
        <v>208</v>
      </c>
      <c r="G40" s="5" t="s">
        <v>59</v>
      </c>
      <c r="H40" s="5" t="s">
        <v>13</v>
      </c>
      <c r="I40" s="7">
        <v>45693</v>
      </c>
      <c r="J40" s="7">
        <v>45694</v>
      </c>
      <c r="K40" s="5"/>
    </row>
    <row r="41" spans="1:11" x14ac:dyDescent="0.2">
      <c r="A41" s="5" t="s">
        <v>166</v>
      </c>
      <c r="B41" s="5" t="s">
        <v>18</v>
      </c>
      <c r="C41" s="5" t="s">
        <v>35</v>
      </c>
      <c r="D41" s="5" t="s">
        <v>167</v>
      </c>
      <c r="E41" s="5" t="s">
        <v>168</v>
      </c>
      <c r="F41" s="5" t="s">
        <v>207</v>
      </c>
      <c r="G41" s="5" t="s">
        <v>49</v>
      </c>
      <c r="H41" s="5" t="s">
        <v>13</v>
      </c>
      <c r="I41" s="7">
        <v>45693</v>
      </c>
      <c r="J41" s="7">
        <v>45694</v>
      </c>
      <c r="K41" s="5"/>
    </row>
    <row r="42" spans="1:11" x14ac:dyDescent="0.2">
      <c r="A42" s="5" t="s">
        <v>169</v>
      </c>
      <c r="B42" s="5" t="s">
        <v>19</v>
      </c>
      <c r="C42" s="5" t="s">
        <v>31</v>
      </c>
      <c r="D42" s="5" t="s">
        <v>170</v>
      </c>
      <c r="E42" s="5" t="s">
        <v>171</v>
      </c>
      <c r="F42" s="5" t="s">
        <v>207</v>
      </c>
      <c r="G42" s="5" t="s">
        <v>49</v>
      </c>
      <c r="H42" s="5" t="s">
        <v>13</v>
      </c>
      <c r="I42" s="7">
        <v>45695</v>
      </c>
      <c r="J42" s="7">
        <v>45697</v>
      </c>
      <c r="K42" s="5"/>
    </row>
    <row r="43" spans="1:11" x14ac:dyDescent="0.2">
      <c r="A43" s="5" t="s">
        <v>172</v>
      </c>
      <c r="B43" s="5" t="s">
        <v>19</v>
      </c>
      <c r="C43" s="5" t="s">
        <v>31</v>
      </c>
      <c r="D43" s="5" t="s">
        <v>173</v>
      </c>
      <c r="E43" s="5" t="s">
        <v>174</v>
      </c>
      <c r="F43" s="5" t="s">
        <v>207</v>
      </c>
      <c r="G43" s="5" t="s">
        <v>49</v>
      </c>
      <c r="H43" s="5" t="s">
        <v>13</v>
      </c>
      <c r="I43" s="7">
        <v>45695</v>
      </c>
      <c r="J43" s="7">
        <v>45697</v>
      </c>
      <c r="K43" s="5"/>
    </row>
    <row r="44" spans="1:11" x14ac:dyDescent="0.2">
      <c r="A44" s="5" t="s">
        <v>175</v>
      </c>
      <c r="B44" s="5" t="s">
        <v>19</v>
      </c>
      <c r="C44" s="5" t="s">
        <v>35</v>
      </c>
      <c r="D44" s="5" t="s">
        <v>176</v>
      </c>
      <c r="E44" s="5" t="s">
        <v>177</v>
      </c>
      <c r="F44" s="5" t="s">
        <v>208</v>
      </c>
      <c r="G44" s="5" t="s">
        <v>49</v>
      </c>
      <c r="H44" s="5" t="s">
        <v>13</v>
      </c>
      <c r="I44" s="7">
        <v>45696</v>
      </c>
      <c r="J44" s="7">
        <v>45698</v>
      </c>
      <c r="K44" s="5"/>
    </row>
    <row r="45" spans="1:11" x14ac:dyDescent="0.2">
      <c r="A45" s="5" t="s">
        <v>178</v>
      </c>
      <c r="B45" s="5" t="s">
        <v>19</v>
      </c>
      <c r="C45" s="5" t="s">
        <v>37</v>
      </c>
      <c r="D45" s="5" t="s">
        <v>179</v>
      </c>
      <c r="E45" s="5" t="s">
        <v>180</v>
      </c>
      <c r="F45" s="5" t="s">
        <v>207</v>
      </c>
      <c r="G45" s="5" t="s">
        <v>49</v>
      </c>
      <c r="H45" s="5" t="s">
        <v>13</v>
      </c>
      <c r="I45" s="7">
        <v>45696</v>
      </c>
      <c r="J45" s="7">
        <v>45698</v>
      </c>
      <c r="K45" s="5"/>
    </row>
    <row r="46" spans="1:11" x14ac:dyDescent="0.2">
      <c r="A46" s="5" t="s">
        <v>181</v>
      </c>
      <c r="B46" s="5" t="s">
        <v>19</v>
      </c>
      <c r="C46" s="5" t="s">
        <v>31</v>
      </c>
      <c r="D46" s="5" t="s">
        <v>182</v>
      </c>
      <c r="E46" s="5" t="s">
        <v>183</v>
      </c>
      <c r="F46" s="5" t="s">
        <v>207</v>
      </c>
      <c r="G46" s="5" t="s">
        <v>49</v>
      </c>
      <c r="H46" s="5" t="s">
        <v>13</v>
      </c>
      <c r="I46" s="7">
        <v>45697</v>
      </c>
      <c r="J46" s="7">
        <v>45698</v>
      </c>
      <c r="K46" s="5"/>
    </row>
    <row r="47" spans="1:11" x14ac:dyDescent="0.2">
      <c r="A47" s="5" t="s">
        <v>184</v>
      </c>
      <c r="B47" s="5" t="s">
        <v>19</v>
      </c>
      <c r="C47" s="5" t="s">
        <v>31</v>
      </c>
      <c r="D47" s="5" t="s">
        <v>185</v>
      </c>
      <c r="E47" s="5" t="s">
        <v>186</v>
      </c>
      <c r="F47" s="5" t="s">
        <v>207</v>
      </c>
      <c r="G47" s="5" t="s">
        <v>49</v>
      </c>
      <c r="H47" s="5" t="s">
        <v>13</v>
      </c>
      <c r="I47" s="7">
        <v>45698</v>
      </c>
      <c r="J47" s="7">
        <v>45699</v>
      </c>
      <c r="K47" s="5"/>
    </row>
    <row r="48" spans="1:11" x14ac:dyDescent="0.2">
      <c r="A48" s="5" t="s">
        <v>187</v>
      </c>
      <c r="B48" s="5" t="s">
        <v>19</v>
      </c>
      <c r="C48" s="5" t="s">
        <v>37</v>
      </c>
      <c r="D48" s="5" t="s">
        <v>188</v>
      </c>
      <c r="E48" s="5" t="s">
        <v>189</v>
      </c>
      <c r="F48" s="5" t="s">
        <v>207</v>
      </c>
      <c r="G48" s="5" t="s">
        <v>59</v>
      </c>
      <c r="H48" s="5" t="s">
        <v>13</v>
      </c>
      <c r="I48" s="7">
        <v>45697</v>
      </c>
      <c r="J48" s="7">
        <v>45699</v>
      </c>
      <c r="K48" s="5"/>
    </row>
    <row r="49" spans="1:11" x14ac:dyDescent="0.2">
      <c r="A49" s="5" t="s">
        <v>190</v>
      </c>
      <c r="B49" s="5" t="s">
        <v>19</v>
      </c>
      <c r="C49" s="5" t="s">
        <v>35</v>
      </c>
      <c r="D49" s="5" t="s">
        <v>191</v>
      </c>
      <c r="E49" s="5" t="s">
        <v>192</v>
      </c>
      <c r="F49" s="5" t="s">
        <v>208</v>
      </c>
      <c r="G49" s="5" t="s">
        <v>49</v>
      </c>
      <c r="H49" s="5" t="s">
        <v>13</v>
      </c>
      <c r="I49" s="7">
        <v>45699</v>
      </c>
      <c r="J49" s="7">
        <v>45699</v>
      </c>
      <c r="K49" s="5"/>
    </row>
  </sheetData>
  <conditionalFormatting sqref="G2:G100">
    <cfRule type="cellIs" dxfId="6" priority="5" operator="equal">
      <formula>"High"</formula>
    </cfRule>
    <cfRule type="cellIs" dxfId="5" priority="6" operator="equal">
      <formula>"Medium"</formula>
    </cfRule>
    <cfRule type="cellIs" dxfId="4" priority="7" operator="equal">
      <formula>"Low"</formula>
    </cfRule>
  </conditionalFormatting>
  <conditionalFormatting sqref="H2:H100">
    <cfRule type="cellIs" dxfId="3" priority="1" operator="equal">
      <formula>"Done"</formula>
    </cfRule>
    <cfRule type="cellIs" dxfId="2" priority="2" operator="equal">
      <formula>"In Progress"</formula>
    </cfRule>
    <cfRule type="cellIs" dxfId="1" priority="3" operator="equal">
      <formula>"Blocked"</formula>
    </cfRule>
    <cfRule type="cellIs" dxfId="0" priority="4" operator="equal">
      <formula>"Not Started"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D9" sqref="D9"/>
    </sheetView>
  </sheetViews>
  <sheetFormatPr baseColWidth="10" defaultColWidth="8.83203125" defaultRowHeight="15" x14ac:dyDescent="0.2"/>
  <cols>
    <col min="1" max="4" width="20" customWidth="1"/>
    <col min="6" max="6" width="55" customWidth="1"/>
  </cols>
  <sheetData>
    <row r="1" spans="1:6" ht="19" x14ac:dyDescent="0.25">
      <c r="A1" s="3" t="s">
        <v>193</v>
      </c>
      <c r="B1" s="3" t="s">
        <v>41</v>
      </c>
      <c r="C1" s="3" t="s">
        <v>194</v>
      </c>
      <c r="D1" s="3" t="s">
        <v>195</v>
      </c>
      <c r="F1" s="8" t="s">
        <v>196</v>
      </c>
    </row>
    <row r="2" spans="1:6" x14ac:dyDescent="0.2">
      <c r="A2" t="s">
        <v>13</v>
      </c>
      <c r="B2" t="s">
        <v>49</v>
      </c>
      <c r="C2" t="s">
        <v>25</v>
      </c>
      <c r="D2" t="s">
        <v>206</v>
      </c>
      <c r="F2" t="s">
        <v>197</v>
      </c>
    </row>
    <row r="3" spans="1:6" x14ac:dyDescent="0.2">
      <c r="A3" t="s">
        <v>11</v>
      </c>
      <c r="B3" t="s">
        <v>59</v>
      </c>
      <c r="C3" t="s">
        <v>27</v>
      </c>
      <c r="D3" t="s">
        <v>204</v>
      </c>
      <c r="F3" t="s">
        <v>198</v>
      </c>
    </row>
    <row r="4" spans="1:6" x14ac:dyDescent="0.2">
      <c r="A4" t="s">
        <v>15</v>
      </c>
      <c r="B4" t="s">
        <v>144</v>
      </c>
      <c r="C4" t="s">
        <v>29</v>
      </c>
      <c r="D4" t="s">
        <v>206</v>
      </c>
      <c r="F4" t="s">
        <v>199</v>
      </c>
    </row>
    <row r="5" spans="1:6" x14ac:dyDescent="0.2">
      <c r="A5" t="s">
        <v>7</v>
      </c>
      <c r="C5" t="s">
        <v>31</v>
      </c>
      <c r="D5" t="s">
        <v>32</v>
      </c>
      <c r="F5" t="s">
        <v>200</v>
      </c>
    </row>
    <row r="6" spans="1:6" x14ac:dyDescent="0.2">
      <c r="C6" t="s">
        <v>33</v>
      </c>
      <c r="D6" t="s">
        <v>205</v>
      </c>
      <c r="F6" t="s">
        <v>201</v>
      </c>
    </row>
    <row r="7" spans="1:6" x14ac:dyDescent="0.2">
      <c r="C7" t="s">
        <v>35</v>
      </c>
      <c r="D7" t="s">
        <v>208</v>
      </c>
      <c r="F7" t="s">
        <v>202</v>
      </c>
    </row>
    <row r="8" spans="1:6" x14ac:dyDescent="0.2">
      <c r="C8" t="s">
        <v>37</v>
      </c>
      <c r="D8" t="s">
        <v>207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Tasks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Chahal, Ravi</cp:lastModifiedBy>
  <dcterms:created xsi:type="dcterms:W3CDTF">2026-01-09T08:31:25Z</dcterms:created>
  <dcterms:modified xsi:type="dcterms:W3CDTF">2026-01-09T08:38:14Z</dcterms:modified>
</cp:coreProperties>
</file>